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高圧" sheetId="1" state="visible" r:id="rId1"/>
    <sheet xmlns:r="http://schemas.openxmlformats.org/officeDocument/2006/relationships" name="低圧" sheetId="2" state="visible" r:id="rId2"/>
    <sheet xmlns:r="http://schemas.openxmlformats.org/officeDocument/2006/relationships" name="特別割引計算シー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_);[Red]\(#,##0.00\)"/>
    <numFmt numFmtId="166" formatCode="&quot;¥&quot;#,##0.00;&quot;¥&quot;\-#,##0.00"/>
    <numFmt numFmtId="167" formatCode="0_);[Red]\(0\)"/>
  </numFmts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sz val="11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color theme="1"/>
      <sz val="11"/>
    </font>
    <font>
      <name val="游ゴシック"/>
      <charset val="128"/>
      <family val="2"/>
      <color theme="1"/>
      <sz val="9"/>
      <scheme val="minor"/>
    </font>
    <font>
      <name val="Segoe UI Symbol"/>
      <family val="2"/>
      <color theme="1"/>
      <sz val="11"/>
    </font>
    <font>
      <name val="游ゴシック"/>
      <charset val="128"/>
      <family val="2"/>
      <color theme="1"/>
      <sz val="8"/>
      <scheme val="minor"/>
    </font>
    <font>
      <name val="Segoe UI Symbol"/>
      <family val="2"/>
      <color theme="1"/>
      <sz val="9"/>
    </font>
    <font>
      <name val="游ゴシック"/>
      <charset val="128"/>
      <family val="2"/>
      <color theme="4"/>
      <sz val="11"/>
      <scheme val="minor"/>
    </font>
    <font>
      <name val="Segoe UI Symbol"/>
      <family val="2"/>
      <color rgb="FFFF0000"/>
      <sz val="11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rgb="FF333333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3">
    <xf numFmtId="0" fontId="1" fillId="0" borderId="0" applyAlignment="1">
      <alignment vertical="center"/>
    </xf>
    <xf numFmtId="0" fontId="3" fillId="0" borderId="0" applyAlignment="1">
      <alignment vertical="center"/>
    </xf>
    <xf numFmtId="38" fontId="1" fillId="0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applyProtection="1" pivotButton="0" quotePrefix="0" xfId="1">
      <alignment vertical="center"/>
      <protection locked="0" hidden="0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10" fontId="15" fillId="0" borderId="1" applyAlignment="1" pivotButton="0" quotePrefix="0" xfId="0">
      <alignment vertical="center"/>
    </xf>
    <xf numFmtId="0" fontId="0" fillId="0" borderId="5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shrinkToFit="1"/>
    </xf>
    <xf numFmtId="0" fontId="17" fillId="2" borderId="1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38" fontId="0" fillId="0" borderId="1" applyAlignment="1" pivotButton="0" quotePrefix="0" xfId="2">
      <alignment vertical="center"/>
    </xf>
    <xf numFmtId="167" fontId="4" fillId="0" borderId="0" applyAlignment="1" applyProtection="1" pivotButton="0" quotePrefix="0" xfId="1">
      <alignment vertical="center"/>
      <protection locked="0" hidden="0"/>
    </xf>
    <xf numFmtId="0" fontId="3" fillId="2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1" applyAlignment="1" pivotButton="0" quotePrefix="0" xfId="2">
      <alignment vertical="center"/>
    </xf>
    <xf numFmtId="3" fontId="18" fillId="0" borderId="0" applyAlignment="1" pivotButton="0" quotePrefix="0" xfId="0">
      <alignment vertical="center"/>
    </xf>
    <xf numFmtId="4" fontId="0" fillId="0" borderId="1" applyAlignment="1" pivotButton="0" quotePrefix="0" xfId="2">
      <alignment vertical="center"/>
    </xf>
    <xf numFmtId="0" fontId="8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38" fontId="0" fillId="6" borderId="1" applyAlignment="1" pivotButton="0" quotePrefix="0" xfId="2">
      <alignment vertical="center"/>
    </xf>
    <xf numFmtId="3" fontId="18" fillId="6" borderId="1" applyAlignment="1" pivotButton="0" quotePrefix="0" xfId="0">
      <alignment vertical="center"/>
    </xf>
    <xf numFmtId="165" fontId="4" fillId="0" borderId="2" applyAlignment="1" applyProtection="1" pivotButton="0" quotePrefix="0" xfId="1">
      <alignment horizontal="right" vertical="center"/>
      <protection locked="0" hidden="0"/>
    </xf>
    <xf numFmtId="165" fontId="4" fillId="0" borderId="3" applyAlignment="1" applyProtection="1" pivotButton="0" quotePrefix="0" xfId="1">
      <alignment horizontal="right" vertical="center"/>
      <protection locked="0" hidden="0"/>
    </xf>
    <xf numFmtId="165" fontId="4" fillId="2" borderId="2" applyAlignment="1" applyProtection="1" pivotButton="0" quotePrefix="0" xfId="1">
      <alignment horizontal="center" vertical="center"/>
      <protection locked="0" hidden="0"/>
    </xf>
    <xf numFmtId="165" fontId="4" fillId="2" borderId="3" applyAlignment="1" applyProtection="1" pivotButton="0" quotePrefix="0" xfId="1">
      <alignment horizontal="center" vertical="center"/>
      <protection locked="0" hidden="0"/>
    </xf>
    <xf numFmtId="0" fontId="3" fillId="0" borderId="1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5" fontId="4" fillId="2" borderId="2" applyAlignment="1" applyProtection="1" pivotButton="0" quotePrefix="0" xfId="1">
      <alignment horizontal="center" vertical="center" wrapText="1"/>
      <protection locked="0" hidden="0"/>
    </xf>
    <xf numFmtId="165" fontId="4" fillId="2" borderId="9" applyAlignment="1" applyProtection="1" pivotButton="0" quotePrefix="0" xfId="1">
      <alignment horizontal="center" vertical="center" wrapText="1"/>
      <protection locked="0" hidden="0"/>
    </xf>
    <xf numFmtId="165" fontId="4" fillId="2" borderId="5" applyAlignment="1" applyProtection="1" pivotButton="0" quotePrefix="0" xfId="1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165" fontId="4" fillId="2" borderId="5" applyAlignment="1" applyProtection="1" pivotButton="0" quotePrefix="0" xfId="1">
      <alignment horizontal="center" vertical="center"/>
      <protection locked="0" hidden="0"/>
    </xf>
    <xf numFmtId="165" fontId="4" fillId="2" borderId="6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right" vertical="center"/>
      <protection locked="0" hidden="0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7" pivotButton="0" quotePrefix="0" xfId="0"/>
    <xf numFmtId="0" fontId="0" fillId="0" borderId="14" pivotButton="0" quotePrefix="0" xfId="0"/>
    <xf numFmtId="165" fontId="4" fillId="2" borderId="8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4" fillId="0" borderId="8" applyAlignment="1" applyProtection="1" pivotButton="0" quotePrefix="0" xfId="1">
      <alignment horizontal="right" vertical="center"/>
      <protection locked="0" hidden="0"/>
    </xf>
    <xf numFmtId="164" fontId="3" fillId="0" borderId="1" applyAlignment="1" pivotButton="0" quotePrefix="0" xfId="0">
      <alignment horizontal="center" vertical="center"/>
    </xf>
    <xf numFmtId="165" fontId="4" fillId="2" borderId="18" applyAlignment="1" applyProtection="1" pivotButton="0" quotePrefix="0" xfId="1">
      <alignment horizontal="center" vertical="center" wrapText="1"/>
      <protection locked="0" hidden="0"/>
    </xf>
    <xf numFmtId="167" fontId="4" fillId="0" borderId="0" applyAlignment="1" applyProtection="1" pivotButton="0" quotePrefix="0" xfId="1">
      <alignment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3" borderId="24" applyAlignment="1" pivotButton="0" quotePrefix="0" xfId="0">
      <alignment horizontal="center" vertical="center"/>
    </xf>
    <xf numFmtId="165" fontId="4" fillId="2" borderId="23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right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25" pivotButton="0" quotePrefix="0" xfId="0"/>
    <xf numFmtId="0" fontId="0" fillId="0" borderId="6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6" pivotButton="0" quotePrefix="0" xfId="0"/>
    <xf numFmtId="165" fontId="4" fillId="2" borderId="23" applyAlignment="1" applyProtection="1" pivotButton="0" quotePrefix="0" xfId="1">
      <alignment horizontal="center" vertical="center" wrapTex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0" fontId="0" fillId="0" borderId="10" applyProtection="1" pivotButton="0" quotePrefix="0" xfId="0">
      <protection locked="0" hidden="0"/>
    </xf>
    <xf numFmtId="166" fontId="0" fillId="4" borderId="1" applyAlignment="1" pivotButton="0" quotePrefix="0" xfId="0">
      <alignment vertical="center"/>
    </xf>
    <xf numFmtId="166" fontId="15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3">
    <cellStyle name="標準" xfId="0" builtinId="0"/>
    <cellStyle name="標準 7" xfId="1"/>
    <cellStyle name="桁区切り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tabSelected="1" zoomScale="80" zoomScaleNormal="80" workbookViewId="0">
      <selection activeCell="X6" sqref="X6"/>
    </sheetView>
  </sheetViews>
  <sheetFormatPr baseColWidth="8" defaultColWidth="10.375" defaultRowHeight="18.75"/>
  <cols>
    <col width="13.625" bestFit="1" customWidth="1" style="85" min="1" max="1"/>
    <col width="10.625" customWidth="1" style="85" min="2" max="13"/>
    <col width="11.75" bestFit="1" customWidth="1" style="85" min="14" max="14"/>
    <col width="13.25" bestFit="1" customWidth="1" style="85" min="15" max="15"/>
  </cols>
  <sheetData>
    <row r="1">
      <c r="A1" s="1" t="inlineStr">
        <is>
          <t>法人名</t>
        </is>
      </c>
      <c r="B1" s="71" t="inlineStr"/>
      <c r="C1" s="86" t="n"/>
      <c r="D1" s="87" t="n"/>
    </row>
    <row r="2">
      <c r="A2" s="1" t="inlineStr">
        <is>
          <t>住所</t>
        </is>
      </c>
      <c r="B2" s="72" t="n"/>
      <c r="C2" s="86" t="n"/>
      <c r="D2" s="87" t="n"/>
    </row>
    <row r="3">
      <c r="A3" s="1" t="inlineStr">
        <is>
          <t>代表者名</t>
        </is>
      </c>
      <c r="B3" s="62" t="n"/>
      <c r="C3" s="86" t="n"/>
      <c r="D3" s="87" t="n"/>
    </row>
    <row r="4">
      <c r="A4" s="1" t="inlineStr">
        <is>
          <t>法人番号</t>
        </is>
      </c>
      <c r="B4" s="62" t="n"/>
      <c r="C4" s="86" t="n"/>
      <c r="D4" s="87" t="n"/>
    </row>
    <row r="6">
      <c r="A6" s="2" t="inlineStr">
        <is>
          <t>需要場所名</t>
        </is>
      </c>
      <c r="B6" s="62" t="n"/>
      <c r="C6" s="86" t="n"/>
      <c r="D6" s="87" t="n"/>
      <c r="F6" s="2" t="inlineStr">
        <is>
          <t>提出納期</t>
        </is>
      </c>
      <c r="G6" s="43" t="n"/>
      <c r="J6" s="2" t="inlineStr">
        <is>
          <t>SW希望日</t>
        </is>
      </c>
      <c r="K6" s="43" t="n"/>
    </row>
    <row r="7">
      <c r="A7" s="2" t="inlineStr">
        <is>
          <t>管轄</t>
        </is>
      </c>
      <c r="B7" s="62" t="n"/>
      <c r="C7" s="86" t="n"/>
      <c r="D7" s="87" t="n"/>
    </row>
    <row r="8">
      <c r="A8" s="2" t="inlineStr">
        <is>
          <t>現契約先</t>
        </is>
      </c>
      <c r="B8" s="62" t="n"/>
      <c r="C8" s="86" t="n"/>
      <c r="D8" s="87" t="n"/>
    </row>
    <row r="9">
      <c r="A9" s="52" t="inlineStr">
        <is>
          <t>特別割引の有無</t>
        </is>
      </c>
      <c r="B9" s="62" t="n"/>
      <c r="C9" s="86" t="n"/>
      <c r="D9" s="87" t="n"/>
    </row>
    <row r="12">
      <c r="A12" s="11" t="inlineStr">
        <is>
          <t>プラン名</t>
        </is>
      </c>
      <c r="B12" s="87" t="n"/>
      <c r="C12" s="70" t="n"/>
      <c r="D12" s="87" t="n"/>
      <c r="E12" s="48" t="n"/>
      <c r="F12" s="2" t="inlineStr">
        <is>
          <t>契約電力</t>
        </is>
      </c>
      <c r="G12" s="71" t="n"/>
      <c r="J12" s="6" t="inlineStr">
        <is>
          <t>予備線</t>
        </is>
      </c>
      <c r="K12" s="84" t="n"/>
    </row>
    <row r="13">
      <c r="A13" s="88" t="inlineStr">
        <is>
          <t>基本料金</t>
        </is>
      </c>
      <c r="B13" s="89" t="n"/>
      <c r="C13" s="90" t="n"/>
      <c r="D13" s="89" t="n"/>
      <c r="E13" s="48" t="inlineStr">
        <is>
          <t>円</t>
        </is>
      </c>
      <c r="F13" s="2" t="inlineStr">
        <is>
          <t>負荷率</t>
        </is>
      </c>
      <c r="G13" s="91">
        <f>N24/(G12*24*365)</f>
        <v/>
      </c>
      <c r="J13" s="6" t="inlineStr">
        <is>
          <t>予備電源</t>
        </is>
      </c>
      <c r="K13" s="84" t="n"/>
    </row>
    <row r="14" ht="18" customHeight="1" s="85">
      <c r="A14" s="92" t="inlineStr">
        <is>
          <t>電力量料金
(1kWh)</t>
        </is>
      </c>
      <c r="B14" s="11" t="inlineStr">
        <is>
          <t>一律</t>
        </is>
      </c>
      <c r="C14" s="70" t="n"/>
      <c r="D14" s="87" t="n"/>
      <c r="E14" s="54" t="inlineStr">
        <is>
          <t>円</t>
        </is>
      </c>
      <c r="F14" s="93" t="n"/>
      <c r="G14" s="23" t="n"/>
      <c r="H14" s="93" t="n"/>
    </row>
    <row r="15">
      <c r="A15" s="94" t="n"/>
      <c r="B15" s="11" t="n"/>
      <c r="C15" s="70" t="n"/>
      <c r="D15" s="87" t="n"/>
      <c r="E15" s="54" t="inlineStr">
        <is>
          <t>円</t>
        </is>
      </c>
      <c r="F15" s="93" t="n"/>
      <c r="G15" s="23" t="n"/>
      <c r="H15" s="93" t="n"/>
    </row>
    <row r="16">
      <c r="A16" s="94" t="n"/>
      <c r="B16" s="11" t="inlineStr">
        <is>
          <t>容量拠出金</t>
        </is>
      </c>
      <c r="C16" s="70" t="n"/>
      <c r="D16" s="87" t="n"/>
      <c r="E16" s="55" t="inlineStr">
        <is>
          <t xml:space="preserve">円/kW </t>
        </is>
      </c>
      <c r="F16" s="0" t="inlineStr">
        <is>
          <t>（±毎月の調整あり）※ほくでんの場合なし</t>
        </is>
      </c>
    </row>
    <row r="17">
      <c r="A17" s="95" t="n"/>
      <c r="B17" s="11" t="n"/>
      <c r="C17" s="70" t="n"/>
      <c r="D17" s="87" t="n"/>
    </row>
    <row r="19">
      <c r="A19" s="0" t="inlineStr">
        <is>
          <t>使用量</t>
        </is>
      </c>
      <c r="B19" s="19" t="inlineStr">
        <is>
          <t>2025年</t>
        </is>
      </c>
      <c r="C19" s="47" t="n"/>
      <c r="D19" s="47" t="n"/>
      <c r="G19" s="47" t="n"/>
      <c r="H19" s="48" t="n"/>
      <c r="I19" s="48" t="n"/>
      <c r="J19" s="48" t="n"/>
      <c r="K19" s="38" t="n">
        <v>2024</v>
      </c>
      <c r="L19" s="47" t="n"/>
      <c r="M19" s="47" t="n"/>
      <c r="N19" s="27" t="inlineStr">
        <is>
          <t>ｋWh</t>
        </is>
      </c>
    </row>
    <row r="20">
      <c r="A20" s="6" t="n"/>
      <c r="B20" s="2" t="inlineStr">
        <is>
          <t>1月</t>
        </is>
      </c>
      <c r="C20" s="46" t="inlineStr">
        <is>
          <t>2月</t>
        </is>
      </c>
      <c r="D20" s="46" t="inlineStr">
        <is>
          <t>3月</t>
        </is>
      </c>
      <c r="E20" s="2" t="inlineStr">
        <is>
          <t>4月</t>
        </is>
      </c>
      <c r="F20" s="2" t="inlineStr">
        <is>
          <t>5月</t>
        </is>
      </c>
      <c r="G20" s="2" t="inlineStr">
        <is>
          <t>6月</t>
        </is>
      </c>
      <c r="H20" s="2" t="inlineStr">
        <is>
          <t>7月</t>
        </is>
      </c>
      <c r="I20" s="2" t="inlineStr">
        <is>
          <t>8月</t>
        </is>
      </c>
      <c r="J20" s="2" t="inlineStr">
        <is>
          <t>9月</t>
        </is>
      </c>
      <c r="K20" s="2" t="inlineStr">
        <is>
          <t>10月</t>
        </is>
      </c>
      <c r="L20" s="46" t="inlineStr">
        <is>
          <t>11月</t>
        </is>
      </c>
      <c r="M20" s="46" t="inlineStr">
        <is>
          <t>12月</t>
        </is>
      </c>
      <c r="N20" s="8" t="inlineStr">
        <is>
          <t>合計</t>
        </is>
      </c>
    </row>
    <row r="21">
      <c r="A21" s="39" t="inlineStr">
        <is>
          <t>一律</t>
        </is>
      </c>
      <c r="B21" s="44" t="inlineStr">
        <is>
          <t>38711</t>
        </is>
      </c>
      <c r="C21" s="50" t="inlineStr">
        <is>
          <t>52037</t>
        </is>
      </c>
      <c r="D21" s="44" t="inlineStr">
        <is>
          <t>44524</t>
        </is>
      </c>
      <c r="E21" s="44" t="inlineStr">
        <is>
          <t>43360</t>
        </is>
      </c>
      <c r="F21" s="44" t="inlineStr">
        <is>
          <t>34100</t>
        </is>
      </c>
      <c r="G21" s="44" t="inlineStr">
        <is>
          <t>44077</t>
        </is>
      </c>
      <c r="H21" s="44" t="inlineStr">
        <is>
          <t>427</t>
        </is>
      </c>
      <c r="I21" s="44" t="inlineStr">
        <is>
          <t>38854</t>
        </is>
      </c>
      <c r="J21" s="44" t="inlineStr">
        <is>
          <t>35305</t>
        </is>
      </c>
      <c r="K21" s="44" t="inlineStr">
        <is>
          <t>35305</t>
        </is>
      </c>
      <c r="L21" s="44" t="inlineStr">
        <is>
          <t>36589</t>
        </is>
      </c>
      <c r="M21" s="44" t="inlineStr">
        <is>
          <t>44791</t>
        </is>
      </c>
      <c r="N21" s="44" t="n"/>
    </row>
    <row r="22">
      <c r="A22" s="39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</row>
    <row r="23">
      <c r="A23" s="39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>
      <c r="A24" s="8" t="inlineStr">
        <is>
          <t>合計</t>
        </is>
      </c>
      <c r="B24" s="56">
        <f>SUM(B21:B23)</f>
        <v/>
      </c>
      <c r="C24" s="56">
        <f>SUM(C21:C23)</f>
        <v/>
      </c>
      <c r="D24" s="56">
        <f>SUM(D21:D23)</f>
        <v/>
      </c>
      <c r="E24" s="56">
        <f>SUM(E21:E23)</f>
        <v/>
      </c>
      <c r="F24" s="56">
        <f>SUM(F21:F23)</f>
        <v/>
      </c>
      <c r="G24" s="56">
        <f>SUM(G21:G23)</f>
        <v/>
      </c>
      <c r="H24" s="56">
        <f>SUM(H21:H23)</f>
        <v/>
      </c>
      <c r="I24" s="56">
        <f>SUM(I21:I23)</f>
        <v/>
      </c>
      <c r="J24" s="56">
        <f>SUM(J21:J23)</f>
        <v/>
      </c>
      <c r="K24" s="56">
        <f>SUM(K21:K23)</f>
        <v/>
      </c>
      <c r="L24" s="56">
        <f>SUM(L21:L23)</f>
        <v/>
      </c>
      <c r="M24" s="56">
        <f>SUM(M21:M23)</f>
        <v/>
      </c>
      <c r="N24" s="56">
        <f>SUM(N21:N23)</f>
        <v/>
      </c>
    </row>
    <row r="26">
      <c r="A26" s="0" t="inlineStr">
        <is>
          <t>その他　費用</t>
        </is>
      </c>
      <c r="N26" s="27" t="inlineStr">
        <is>
          <t>円</t>
        </is>
      </c>
    </row>
    <row r="27">
      <c r="A27" s="39" t="inlineStr">
        <is>
          <t>燃料費等調整額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>
        <f>SUM(B27:M27)</f>
        <v/>
      </c>
      <c r="O27" s="41" t="inlineStr">
        <is>
          <t>マイナス表記</t>
        </is>
      </c>
    </row>
    <row r="28">
      <c r="A28" s="40" t="inlineStr">
        <is>
          <t>長期契約料金割引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>
        <f>SUM(B28:M28)</f>
        <v/>
      </c>
      <c r="O28" s="42" t="inlineStr">
        <is>
          <t>マイナス表記</t>
        </is>
      </c>
    </row>
    <row r="29">
      <c r="A29" s="40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>
        <f>SUM(B29:M29)</f>
        <v/>
      </c>
      <c r="O29" s="42" t="inlineStr">
        <is>
          <t>マイナス表記</t>
        </is>
      </c>
    </row>
    <row r="30">
      <c r="A30" s="40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>
        <f>SUM(B30:M30)</f>
        <v/>
      </c>
      <c r="O30" s="42" t="inlineStr">
        <is>
          <t>マイナス表記</t>
        </is>
      </c>
    </row>
    <row r="32">
      <c r="B32" s="19" t="inlineStr">
        <is>
          <t>2025年</t>
        </is>
      </c>
      <c r="K32" s="38" t="n">
        <v>2024</v>
      </c>
      <c r="N32" s="27" t="inlineStr">
        <is>
          <t>円</t>
        </is>
      </c>
    </row>
    <row r="33">
      <c r="A33" s="6" t="n"/>
      <c r="B33" s="2" t="inlineStr">
        <is>
          <t>1月</t>
        </is>
      </c>
      <c r="C33" s="2" t="inlineStr">
        <is>
          <t>2月</t>
        </is>
      </c>
      <c r="D33" s="2" t="inlineStr">
        <is>
          <t>3月</t>
        </is>
      </c>
      <c r="E33" s="2" t="inlineStr">
        <is>
          <t>4月</t>
        </is>
      </c>
      <c r="F33" s="2" t="inlineStr">
        <is>
          <t>5月</t>
        </is>
      </c>
      <c r="G33" s="2" t="inlineStr">
        <is>
          <t>6月</t>
        </is>
      </c>
      <c r="H33" s="2" t="inlineStr">
        <is>
          <t>7月</t>
        </is>
      </c>
      <c r="I33" s="2" t="inlineStr">
        <is>
          <t>8月</t>
        </is>
      </c>
      <c r="J33" s="2" t="inlineStr">
        <is>
          <t>9月</t>
        </is>
      </c>
      <c r="K33" s="2" t="inlineStr">
        <is>
          <t>10月</t>
        </is>
      </c>
      <c r="L33" s="2" t="inlineStr">
        <is>
          <t>11月</t>
        </is>
      </c>
      <c r="M33" s="2" t="inlineStr">
        <is>
          <t>12月</t>
        </is>
      </c>
      <c r="N33" s="8" t="inlineStr">
        <is>
          <t>合計</t>
        </is>
      </c>
    </row>
    <row r="34">
      <c r="A34" s="84" t="inlineStr">
        <is>
          <t>請求金額合計</t>
        </is>
      </c>
      <c r="B34" s="56" t="n"/>
      <c r="C34" s="57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</row>
  </sheetData>
  <mergeCells count="17">
    <mergeCell ref="C12:D12"/>
    <mergeCell ref="B3:D3"/>
    <mergeCell ref="C16:D16"/>
    <mergeCell ref="C15:D15"/>
    <mergeCell ref="B1:D1"/>
    <mergeCell ref="B8:D8"/>
    <mergeCell ref="B4:D4"/>
    <mergeCell ref="B9:D9"/>
    <mergeCell ref="C14:D14"/>
    <mergeCell ref="A13:B13"/>
    <mergeCell ref="A14:A17"/>
    <mergeCell ref="C13:D13"/>
    <mergeCell ref="B7:D7"/>
    <mergeCell ref="C17:D17"/>
    <mergeCell ref="B6:D6"/>
    <mergeCell ref="B2:D2"/>
    <mergeCell ref="A12:B12"/>
  </mergeCells>
  <dataValidations count="7">
    <dataValidation sqref="A22:A23 B15" showDropDown="0" showInputMessage="1" showErrorMessage="1" allowBlank="1" type="list">
      <formula1>"夜間,休日"</formula1>
    </dataValidation>
    <dataValidation sqref="A21" showDropDown="0" showInputMessage="1" showErrorMessage="1" allowBlank="1" type="list">
      <formula1>"一律,昼間,平日,その他季,他季平日"</formula1>
    </dataValidation>
    <dataValidation sqref="A29" showDropDown="0" showInputMessage="1" showErrorMessage="1" allowBlank="1" type="list">
      <formula1>"基本料金割引額A型"</formula1>
    </dataValidation>
    <dataValidation sqref="A30" showDropDown="0" showInputMessage="1" showErrorMessage="1" allowBlank="1" type="list">
      <formula1>"電力料金割引額A型"</formula1>
    </dataValidation>
    <dataValidation sqref="A27" showDropDown="0" showInputMessage="1" showErrorMessage="1" allowBlank="1" type="list">
      <formula1>"燃料費等調整額"</formula1>
    </dataValidation>
    <dataValidation sqref="B14" showDropDown="0" showInputMessage="1" showErrorMessage="1" allowBlank="1" type="list">
      <formula1>"一律,昼間,平日,"</formula1>
    </dataValidation>
    <dataValidation sqref="A28" showDropDown="0" showInputMessage="1" showErrorMessage="1" allowBlank="1" type="list">
      <formula1>"長期契約料金割引"</formula1>
    </dataValidation>
  </dataValidation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zoomScale="85" zoomScaleNormal="85" workbookViewId="0">
      <selection activeCell="P13" sqref="P13"/>
    </sheetView>
  </sheetViews>
  <sheetFormatPr baseColWidth="8" defaultColWidth="11.625" defaultRowHeight="18.75"/>
  <sheetData>
    <row r="1">
      <c r="A1" s="1" t="inlineStr">
        <is>
          <t>法人名</t>
        </is>
      </c>
      <c r="B1" s="62" t="n"/>
      <c r="C1" s="86" t="n"/>
      <c r="D1" s="87" t="n"/>
    </row>
    <row r="2">
      <c r="A2" s="1" t="inlineStr">
        <is>
          <t>住所</t>
        </is>
      </c>
      <c r="B2" s="62" t="n"/>
      <c r="C2" s="86" t="n"/>
      <c r="D2" s="87" t="n"/>
    </row>
    <row r="3">
      <c r="A3" s="1" t="inlineStr">
        <is>
          <t>代表者名</t>
        </is>
      </c>
      <c r="B3" s="62" t="n"/>
      <c r="C3" s="86" t="n"/>
      <c r="D3" s="87" t="n"/>
    </row>
    <row r="4">
      <c r="B4" s="3" t="n"/>
      <c r="C4" s="3" t="n"/>
      <c r="D4" s="3" t="n"/>
    </row>
    <row r="5">
      <c r="A5" s="12" t="n"/>
      <c r="B5" s="13" t="n"/>
      <c r="C5" s="13" t="n"/>
      <c r="D5" s="1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5" t="n"/>
    </row>
    <row r="6">
      <c r="A6" s="96" t="inlineStr">
        <is>
          <t>地点①</t>
        </is>
      </c>
      <c r="B6" s="2" t="inlineStr">
        <is>
          <t>需要場所名</t>
        </is>
      </c>
      <c r="C6" s="62" t="n"/>
      <c r="D6" s="86" t="n"/>
      <c r="E6" s="87" t="n"/>
      <c r="G6" s="97" t="inlineStr">
        <is>
          <t>基本料金</t>
        </is>
      </c>
      <c r="H6" s="89" t="n"/>
      <c r="I6" s="98" t="n"/>
      <c r="J6" s="99" t="n"/>
      <c r="P6" s="16" t="n"/>
    </row>
    <row r="7">
      <c r="A7" s="100" t="n"/>
      <c r="B7" s="2" t="inlineStr">
        <is>
          <t>管轄</t>
        </is>
      </c>
      <c r="C7" s="62" t="inlineStr">
        <is>
          <t>中部電力</t>
        </is>
      </c>
      <c r="D7" s="86" t="n"/>
      <c r="E7" s="87" t="n"/>
      <c r="G7" s="95" t="n"/>
      <c r="H7" s="101" t="n"/>
      <c r="I7" s="102" t="n"/>
      <c r="J7" s="103" t="n"/>
      <c r="P7" s="16" t="n"/>
    </row>
    <row r="8">
      <c r="A8" s="104" t="n"/>
      <c r="B8" s="2" t="inlineStr">
        <is>
          <t>現契約先</t>
        </is>
      </c>
      <c r="C8" s="62" t="n"/>
      <c r="D8" s="86" t="n"/>
      <c r="E8" s="87" t="n"/>
      <c r="G8" s="105" t="inlineStr">
        <is>
          <t>電力量料金
(1kWh)</t>
        </is>
      </c>
      <c r="H8" s="89" t="n"/>
      <c r="I8" s="2" t="inlineStr">
        <is>
          <t>第一段階</t>
        </is>
      </c>
      <c r="J8" s="106" t="n"/>
      <c r="P8" s="16" t="n"/>
    </row>
    <row r="9">
      <c r="A9" s="17" t="n"/>
      <c r="B9" s="18" t="n"/>
      <c r="C9" s="18" t="n"/>
      <c r="D9" s="18" t="n"/>
      <c r="E9" s="18" t="n"/>
      <c r="G9" s="94" t="n"/>
      <c r="H9" s="107" t="n"/>
      <c r="I9" s="2" t="inlineStr">
        <is>
          <t>第二段階</t>
        </is>
      </c>
      <c r="J9" s="106" t="n"/>
      <c r="P9" s="16" t="n"/>
    </row>
    <row r="10">
      <c r="A10" s="17" t="n"/>
      <c r="B10" s="9" t="inlineStr">
        <is>
          <t>契約種別</t>
        </is>
      </c>
      <c r="C10" s="9" t="inlineStr">
        <is>
          <t>契約容量</t>
        </is>
      </c>
      <c r="G10" s="94" t="n"/>
      <c r="H10" s="107" t="n"/>
      <c r="I10" s="2" t="inlineStr">
        <is>
          <t>第三段階</t>
        </is>
      </c>
      <c r="J10" s="106" t="n"/>
      <c r="P10" s="16" t="n"/>
    </row>
    <row r="11">
      <c r="A11" s="17" t="n"/>
      <c r="B11" s="10" t="n"/>
      <c r="C11" s="10" t="n"/>
      <c r="G11" s="95" t="n"/>
      <c r="H11" s="101" t="n"/>
      <c r="I11" s="2" t="n"/>
      <c r="J11" s="106" t="n"/>
      <c r="P11" s="16" t="n"/>
    </row>
    <row r="12">
      <c r="A12" s="17" t="n"/>
      <c r="P12" s="16" t="n"/>
    </row>
    <row r="13">
      <c r="A13" s="17" t="n"/>
      <c r="B13" s="11" t="n"/>
      <c r="C13" s="2" t="inlineStr">
        <is>
          <t>1月</t>
        </is>
      </c>
      <c r="D13" s="2" t="inlineStr">
        <is>
          <t>2月</t>
        </is>
      </c>
      <c r="E13" s="2" t="inlineStr">
        <is>
          <t>3月</t>
        </is>
      </c>
      <c r="F13" s="2" t="inlineStr">
        <is>
          <t>4月</t>
        </is>
      </c>
      <c r="G13" s="2" t="inlineStr">
        <is>
          <t>5月</t>
        </is>
      </c>
      <c r="H13" s="2" t="inlineStr">
        <is>
          <t>6月</t>
        </is>
      </c>
      <c r="I13" s="2" t="inlineStr">
        <is>
          <t>7月</t>
        </is>
      </c>
      <c r="J13" s="2" t="inlineStr">
        <is>
          <t>8月</t>
        </is>
      </c>
      <c r="K13" s="2" t="inlineStr">
        <is>
          <t>9月</t>
        </is>
      </c>
      <c r="L13" s="2" t="inlineStr">
        <is>
          <t>10月</t>
        </is>
      </c>
      <c r="M13" s="2" t="inlineStr">
        <is>
          <t>11月</t>
        </is>
      </c>
      <c r="N13" s="2" t="inlineStr">
        <is>
          <t>12月</t>
        </is>
      </c>
      <c r="O13" s="8" t="inlineStr">
        <is>
          <t>合計</t>
        </is>
      </c>
      <c r="P13" s="16" t="n"/>
    </row>
    <row r="14">
      <c r="A14" s="17" t="n"/>
      <c r="B14" s="11" t="inlineStr">
        <is>
          <t>使用量</t>
        </is>
      </c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>
        <f>SUM(C14:N14)</f>
        <v/>
      </c>
      <c r="P14" s="16" t="n"/>
    </row>
    <row r="15">
      <c r="A15" s="17" t="n"/>
      <c r="B15" s="11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>
        <f>SUM(C15:N15)</f>
        <v/>
      </c>
      <c r="P15" s="16" t="n"/>
    </row>
    <row r="16">
      <c r="A16" s="17" t="n"/>
      <c r="B16" s="8" t="inlineStr">
        <is>
          <t>合計</t>
        </is>
      </c>
      <c r="C16" s="84">
        <f>SUM(C14:C15)</f>
        <v/>
      </c>
      <c r="D16" s="84">
        <f>SUM(D14:D15)</f>
        <v/>
      </c>
      <c r="E16" s="84">
        <f>SUM(E14:E15)</f>
        <v/>
      </c>
      <c r="F16" s="84">
        <f>SUM(F14:F15)</f>
        <v/>
      </c>
      <c r="G16" s="84">
        <f>SUM(G14:G15)</f>
        <v/>
      </c>
      <c r="H16" s="84">
        <f>SUM(H14:H15)</f>
        <v/>
      </c>
      <c r="I16" s="84">
        <f>SUM(I14:I15)</f>
        <v/>
      </c>
      <c r="J16" s="84">
        <f>SUM(J14:J15)</f>
        <v/>
      </c>
      <c r="K16" s="84">
        <f>SUM(K14:K15)</f>
        <v/>
      </c>
      <c r="L16" s="84">
        <f>SUM(L14:L15)</f>
        <v/>
      </c>
      <c r="M16" s="84">
        <f>SUM(M14:M15)</f>
        <v/>
      </c>
      <c r="N16" s="84">
        <f>SUM(N14:N15)</f>
        <v/>
      </c>
      <c r="O16" s="84">
        <f>SUM(C16:N16)</f>
        <v/>
      </c>
      <c r="P16" s="16" t="n"/>
    </row>
    <row r="17">
      <c r="A17" s="19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1" t="n"/>
    </row>
    <row r="18">
      <c r="A18" s="22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5" t="n"/>
    </row>
    <row r="19">
      <c r="A19" s="96" t="inlineStr">
        <is>
          <t>地点②</t>
        </is>
      </c>
      <c r="B19" s="2" t="inlineStr">
        <is>
          <t>需要場所名</t>
        </is>
      </c>
      <c r="C19" s="62" t="n"/>
      <c r="D19" s="86" t="n"/>
      <c r="E19" s="87" t="n"/>
      <c r="G19" s="97" t="inlineStr">
        <is>
          <t>基本料金</t>
        </is>
      </c>
      <c r="H19" s="89" t="n"/>
      <c r="I19" s="98" t="n"/>
      <c r="J19" s="99" t="n"/>
      <c r="P19" s="16" t="n"/>
    </row>
    <row r="20">
      <c r="A20" s="100" t="n"/>
      <c r="B20" s="2" t="inlineStr">
        <is>
          <t>管轄</t>
        </is>
      </c>
      <c r="C20" s="62" t="inlineStr">
        <is>
          <t>中部電力</t>
        </is>
      </c>
      <c r="D20" s="86" t="n"/>
      <c r="E20" s="87" t="n"/>
      <c r="G20" s="95" t="n"/>
      <c r="H20" s="101" t="n"/>
      <c r="I20" s="102" t="n"/>
      <c r="J20" s="103" t="n"/>
      <c r="P20" s="16" t="n"/>
    </row>
    <row r="21">
      <c r="A21" s="104" t="n"/>
      <c r="B21" s="2" t="inlineStr">
        <is>
          <t>現契約先</t>
        </is>
      </c>
      <c r="C21" s="62" t="n"/>
      <c r="D21" s="86" t="n"/>
      <c r="E21" s="87" t="n"/>
      <c r="G21" s="105" t="inlineStr">
        <is>
          <t>電力量料金
(1kWh)</t>
        </is>
      </c>
      <c r="H21" s="89" t="n"/>
      <c r="I21" s="2" t="inlineStr">
        <is>
          <t>夏季</t>
        </is>
      </c>
      <c r="J21" s="106" t="n"/>
      <c r="P21" s="16" t="n"/>
    </row>
    <row r="22">
      <c r="A22" s="17" t="n"/>
      <c r="B22" s="18" t="n"/>
      <c r="C22" s="18" t="n"/>
      <c r="D22" s="18" t="n"/>
      <c r="E22" s="18" t="n"/>
      <c r="G22" s="94" t="n"/>
      <c r="H22" s="107" t="n"/>
      <c r="I22" s="2" t="inlineStr">
        <is>
          <t>その他季</t>
        </is>
      </c>
      <c r="J22" s="106" t="n"/>
      <c r="P22" s="16" t="n"/>
    </row>
    <row r="23">
      <c r="A23" s="17" t="n"/>
      <c r="B23" s="9" t="inlineStr">
        <is>
          <t>契約種別</t>
        </is>
      </c>
      <c r="C23" s="9" t="inlineStr">
        <is>
          <t>契約容量</t>
        </is>
      </c>
      <c r="G23" s="94" t="n"/>
      <c r="H23" s="107" t="n"/>
      <c r="I23" s="2" t="n"/>
      <c r="J23" s="106" t="n"/>
      <c r="P23" s="16" t="n"/>
    </row>
    <row r="24">
      <c r="A24" s="17" t="n"/>
      <c r="B24" s="10" t="n"/>
      <c r="C24" s="10" t="n"/>
      <c r="G24" s="95" t="n"/>
      <c r="H24" s="101" t="n"/>
      <c r="I24" s="2" t="n"/>
      <c r="J24" s="106" t="n"/>
      <c r="P24" s="16" t="n"/>
    </row>
    <row r="25">
      <c r="A25" s="17" t="n"/>
      <c r="P25" s="16" t="n"/>
    </row>
    <row r="26">
      <c r="A26" s="17" t="n"/>
      <c r="B26" s="11" t="n"/>
      <c r="C26" s="2" t="inlineStr">
        <is>
          <t>1月</t>
        </is>
      </c>
      <c r="D26" s="2" t="inlineStr">
        <is>
          <t>2月</t>
        </is>
      </c>
      <c r="E26" s="2" t="inlineStr">
        <is>
          <t>3月</t>
        </is>
      </c>
      <c r="F26" s="2" t="inlineStr">
        <is>
          <t>4月</t>
        </is>
      </c>
      <c r="G26" s="2" t="inlineStr">
        <is>
          <t>5月</t>
        </is>
      </c>
      <c r="H26" s="2" t="inlineStr">
        <is>
          <t>6月</t>
        </is>
      </c>
      <c r="I26" s="2" t="inlineStr">
        <is>
          <t>7月</t>
        </is>
      </c>
      <c r="J26" s="2" t="inlineStr">
        <is>
          <t>8月</t>
        </is>
      </c>
      <c r="K26" s="2" t="inlineStr">
        <is>
          <t>9月</t>
        </is>
      </c>
      <c r="L26" s="2" t="inlineStr">
        <is>
          <t>10月</t>
        </is>
      </c>
      <c r="M26" s="2" t="inlineStr">
        <is>
          <t>11月</t>
        </is>
      </c>
      <c r="N26" s="2" t="inlineStr">
        <is>
          <t>12月</t>
        </is>
      </c>
      <c r="O26" s="8" t="inlineStr">
        <is>
          <t>合計</t>
        </is>
      </c>
      <c r="P26" s="16" t="n"/>
    </row>
    <row r="27">
      <c r="A27" s="17" t="n"/>
      <c r="B27" s="2" t="inlineStr">
        <is>
          <t>夏季</t>
        </is>
      </c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>
        <f>SUM(C27:N27)</f>
        <v/>
      </c>
      <c r="P27" s="16" t="n"/>
    </row>
    <row r="28">
      <c r="A28" s="17" t="n"/>
      <c r="B28" s="2" t="inlineStr">
        <is>
          <t>その他季</t>
        </is>
      </c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>
        <f>SUM(C28:N28)</f>
        <v/>
      </c>
      <c r="P28" s="16" t="n"/>
    </row>
    <row r="29">
      <c r="A29" s="17" t="n"/>
      <c r="B29" s="8" t="inlineStr">
        <is>
          <t>合計</t>
        </is>
      </c>
      <c r="C29" s="84">
        <f>SUM(C27:C28)</f>
        <v/>
      </c>
      <c r="D29" s="84">
        <f>SUM(D27:D28)</f>
        <v/>
      </c>
      <c r="E29" s="84">
        <f>SUM(E27:E28)</f>
        <v/>
      </c>
      <c r="F29" s="84">
        <f>SUM(F27:F28)</f>
        <v/>
      </c>
      <c r="G29" s="84">
        <f>SUM(G27:G28)</f>
        <v/>
      </c>
      <c r="H29" s="84">
        <f>SUM(H27:H28)</f>
        <v/>
      </c>
      <c r="I29" s="84">
        <f>SUM(I27:I28)</f>
        <v/>
      </c>
      <c r="J29" s="84">
        <f>SUM(J27:J28)</f>
        <v/>
      </c>
      <c r="K29" s="84">
        <f>SUM(K27:K28)</f>
        <v/>
      </c>
      <c r="L29" s="84">
        <f>SUM(L27:L28)</f>
        <v/>
      </c>
      <c r="M29" s="84">
        <f>SUM(M27:M28)</f>
        <v/>
      </c>
      <c r="N29" s="84">
        <f>SUM(N27:N28)</f>
        <v/>
      </c>
      <c r="O29" s="84">
        <f>SUM(C29:N29)</f>
        <v/>
      </c>
      <c r="P29" s="16" t="n"/>
    </row>
    <row r="30">
      <c r="A30" s="19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1" t="n"/>
    </row>
  </sheetData>
  <mergeCells count="17">
    <mergeCell ref="G8:H11"/>
    <mergeCell ref="B3:D3"/>
    <mergeCell ref="C20:E20"/>
    <mergeCell ref="C19:E19"/>
    <mergeCell ref="I6:J7"/>
    <mergeCell ref="G21:H24"/>
    <mergeCell ref="B1:D1"/>
    <mergeCell ref="G6:H7"/>
    <mergeCell ref="C8:E8"/>
    <mergeCell ref="A19:A21"/>
    <mergeCell ref="I19:J20"/>
    <mergeCell ref="G19:H20"/>
    <mergeCell ref="C7:E7"/>
    <mergeCell ref="C21:E21"/>
    <mergeCell ref="A6:A8"/>
    <mergeCell ref="B2:D2"/>
    <mergeCell ref="C6:E6"/>
  </mergeCells>
  <dataValidations count="1">
    <dataValidation sqref="B27:B28 I8:I11 I21:I24" showDropDown="0" showInputMessage="1" showErrorMessage="1" allowBlank="1" type="list">
      <formula1>"第一段階,第二段階,第三段階,夏季,その他季"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I45"/>
  <sheetViews>
    <sheetView topLeftCell="A6" workbookViewId="0">
      <selection activeCell="C43" sqref="C43"/>
    </sheetView>
  </sheetViews>
  <sheetFormatPr baseColWidth="8" defaultRowHeight="18.75"/>
  <cols>
    <col width="4.625" customWidth="1" style="85" min="1" max="1"/>
    <col width="3.375" customWidth="1" style="85" min="2" max="2"/>
    <col width="13.875" customWidth="1" style="85" min="3" max="3"/>
    <col width="6.375" customWidth="1" style="85" min="4" max="4"/>
    <col width="16.375" customWidth="1" style="85" min="5" max="5"/>
    <col width="3.5" customWidth="1" style="85" min="6" max="6"/>
    <col width="13.125" customWidth="1" style="85" min="7" max="7"/>
    <col width="14" customWidth="1" style="85" min="8" max="8"/>
    <col width="3.5" customWidth="1" style="85" min="9" max="9"/>
    <col width="3.625" customWidth="1" style="85" min="10" max="10"/>
    <col width="14" customWidth="1" style="85" min="11" max="11"/>
  </cols>
  <sheetData>
    <row r="3">
      <c r="B3" s="22" t="n"/>
      <c r="C3" s="14" t="n"/>
      <c r="D3" s="14" t="n"/>
      <c r="E3" s="14" t="n"/>
      <c r="F3" s="14" t="n"/>
      <c r="G3" s="14" t="n"/>
      <c r="H3" s="14" t="n"/>
    </row>
    <row r="4" ht="31.5" customFormat="1" customHeight="1" s="23">
      <c r="B4" s="24" t="n"/>
      <c r="C4" s="23" t="inlineStr">
        <is>
          <t>契約電力</t>
        </is>
      </c>
      <c r="E4" s="23" t="inlineStr">
        <is>
          <t>基本料金単価</t>
        </is>
      </c>
      <c r="G4" s="25" t="inlineStr">
        <is>
          <t>基本料金①　　　（力率加味せず）</t>
        </is>
      </c>
      <c r="H4" s="25" t="inlineStr">
        <is>
          <t>基本料金②　　　（力率加味）</t>
        </is>
      </c>
    </row>
    <row r="5">
      <c r="B5" s="17" t="n"/>
      <c r="C5" s="34" t="n"/>
      <c r="E5" s="108" t="n"/>
      <c r="G5" s="109">
        <f>C5*E5</f>
        <v/>
      </c>
      <c r="H5" s="109">
        <f>C5*E5*0.85</f>
        <v/>
      </c>
    </row>
    <row r="6">
      <c r="B6" s="17" t="n"/>
    </row>
    <row r="7" ht="31.5" customFormat="1" customHeight="1" s="23">
      <c r="B7" s="24" t="n"/>
      <c r="C7" s="23" t="inlineStr">
        <is>
          <t>使用量</t>
        </is>
      </c>
      <c r="E7" s="23" t="inlineStr">
        <is>
          <t>従量料金単価</t>
        </is>
      </c>
      <c r="G7" s="25" t="inlineStr">
        <is>
          <t>従量料金1⃣　　　（燃調加味せず）</t>
        </is>
      </c>
      <c r="H7" s="25" t="inlineStr">
        <is>
          <t>従量料金2⃣　　　（燃調加味）</t>
        </is>
      </c>
    </row>
    <row r="8">
      <c r="B8" s="17" t="n"/>
      <c r="C8" s="34" t="n"/>
      <c r="E8" s="108" t="n"/>
      <c r="G8" s="109">
        <f>C8*E8</f>
        <v/>
      </c>
      <c r="H8" s="108" t="n"/>
    </row>
    <row r="9">
      <c r="B9" s="17" t="n"/>
    </row>
    <row r="10" customFormat="1" s="23">
      <c r="B10" s="24" t="n"/>
      <c r="C10" s="26" t="inlineStr">
        <is>
          <t>割引金額</t>
        </is>
      </c>
      <c r="E10" s="31" t="inlineStr">
        <is>
          <t>基本料金＋従量料金</t>
        </is>
      </c>
      <c r="H10" s="28" t="inlineStr">
        <is>
          <t>結果</t>
        </is>
      </c>
    </row>
    <row r="11">
      <c r="B11" s="17" t="n"/>
      <c r="C11" s="108" t="n"/>
      <c r="D11" s="27" t="inlineStr">
        <is>
          <t>①+1⃣</t>
        </is>
      </c>
      <c r="E11" s="109">
        <f>G5+G8</f>
        <v/>
      </c>
      <c r="G11" s="37">
        <f>C11/E11</f>
        <v/>
      </c>
      <c r="H11" s="29" t="inlineStr">
        <is>
          <t>✕</t>
        </is>
      </c>
    </row>
    <row r="12">
      <c r="B12" s="17" t="n"/>
      <c r="C12" s="110" t="n"/>
      <c r="D12" s="27" t="inlineStr">
        <is>
          <t>②+1⃣</t>
        </is>
      </c>
      <c r="E12" s="109">
        <f>H5+G8</f>
        <v/>
      </c>
      <c r="G12" s="37">
        <f>C11/E12</f>
        <v/>
      </c>
      <c r="H12" s="36" t="inlineStr">
        <is>
          <t>◎</t>
        </is>
      </c>
    </row>
    <row r="13">
      <c r="B13" s="17" t="n"/>
      <c r="E13" s="27" t="inlineStr">
        <is>
          <t>÷使用量</t>
        </is>
      </c>
      <c r="F13" s="27" t="n"/>
      <c r="G13" s="109">
        <f>C11/C8</f>
        <v/>
      </c>
      <c r="H13" s="29" t="inlineStr">
        <is>
          <t>✕</t>
        </is>
      </c>
    </row>
    <row r="14">
      <c r="D14" s="27" t="inlineStr">
        <is>
          <t>①+2⃣</t>
        </is>
      </c>
      <c r="E14" s="109">
        <f>G5+H8</f>
        <v/>
      </c>
      <c r="G14" s="37">
        <f>C11/E14</f>
        <v/>
      </c>
      <c r="H14" s="29" t="inlineStr">
        <is>
          <t>✕</t>
        </is>
      </c>
    </row>
    <row r="15">
      <c r="D15" s="27" t="inlineStr">
        <is>
          <t>②+2⃣</t>
        </is>
      </c>
      <c r="E15" s="109">
        <f>H5+H8</f>
        <v/>
      </c>
      <c r="G15" s="37">
        <f>C11/E15</f>
        <v/>
      </c>
      <c r="H15" s="29" t="inlineStr">
        <is>
          <t>✕</t>
        </is>
      </c>
    </row>
    <row r="18">
      <c r="B18" s="22" t="n"/>
      <c r="C18" s="14" t="n"/>
      <c r="D18" s="14" t="n"/>
      <c r="E18" s="14" t="n"/>
      <c r="F18" s="14" t="n"/>
      <c r="G18" s="14" t="n"/>
      <c r="H18" s="14" t="n"/>
    </row>
    <row r="19" ht="31.5" customHeight="1" s="85">
      <c r="B19" s="24" t="n"/>
      <c r="C19" s="23" t="inlineStr">
        <is>
          <t>契約電力</t>
        </is>
      </c>
      <c r="D19" s="23" t="n"/>
      <c r="E19" s="23" t="inlineStr">
        <is>
          <t>基本料金単価</t>
        </is>
      </c>
      <c r="F19" s="23" t="n"/>
      <c r="G19" s="25" t="inlineStr">
        <is>
          <t>基本料金①　　　（力率加味せず）</t>
        </is>
      </c>
      <c r="H19" s="25" t="inlineStr">
        <is>
          <t>基本料金②　　　（力率加味）</t>
        </is>
      </c>
      <c r="I19" s="23" t="n"/>
    </row>
    <row r="20">
      <c r="B20" s="17" t="n"/>
      <c r="C20" s="33">
        <f>C5</f>
        <v/>
      </c>
      <c r="E20" s="109">
        <f>E5</f>
        <v/>
      </c>
      <c r="G20" s="109">
        <f>C20*E20</f>
        <v/>
      </c>
      <c r="H20" s="109">
        <f>C20*E20*0.85</f>
        <v/>
      </c>
    </row>
    <row r="21">
      <c r="B21" s="17" t="n"/>
    </row>
    <row r="22" ht="31.5" customHeight="1" s="85">
      <c r="B22" s="24" t="n"/>
      <c r="C22" s="23" t="inlineStr">
        <is>
          <t>使用量</t>
        </is>
      </c>
      <c r="D22" s="23" t="n"/>
      <c r="E22" s="23" t="inlineStr">
        <is>
          <t>従量料金単価</t>
        </is>
      </c>
      <c r="F22" s="23" t="n"/>
      <c r="G22" s="25" t="inlineStr">
        <is>
          <t>従量料金1⃣　　　（燃調加味せず）</t>
        </is>
      </c>
      <c r="H22" s="25" t="inlineStr">
        <is>
          <t>従量料金2⃣　　　（燃調加味）</t>
        </is>
      </c>
      <c r="I22" s="23" t="n"/>
    </row>
    <row r="23">
      <c r="B23" s="17" t="n"/>
      <c r="C23" s="34" t="n"/>
      <c r="E23" s="109">
        <f>E8</f>
        <v/>
      </c>
      <c r="G23" s="109">
        <f>C23*E23</f>
        <v/>
      </c>
      <c r="H23" s="108" t="n"/>
    </row>
    <row r="24">
      <c r="B24" s="17" t="n"/>
    </row>
    <row r="25">
      <c r="B25" s="24" t="n"/>
      <c r="C25" s="26" t="inlineStr">
        <is>
          <t>割引金額</t>
        </is>
      </c>
      <c r="D25" s="23" t="n"/>
      <c r="E25" s="31" t="inlineStr">
        <is>
          <t>基本料金＋従量料金</t>
        </is>
      </c>
      <c r="F25" s="23" t="n"/>
      <c r="G25" s="23" t="n"/>
      <c r="H25" s="28" t="inlineStr">
        <is>
          <t>結果</t>
        </is>
      </c>
      <c r="I25" s="23" t="n"/>
    </row>
    <row r="26">
      <c r="B26" s="17" t="n"/>
      <c r="C26" s="108" t="n"/>
      <c r="D26" s="27" t="inlineStr">
        <is>
          <t>①+1⃣</t>
        </is>
      </c>
      <c r="E26" s="109">
        <f>G20+G23</f>
        <v/>
      </c>
      <c r="G26" s="37">
        <f>C26/E26</f>
        <v/>
      </c>
      <c r="H26" s="29" t="inlineStr">
        <is>
          <t>✕</t>
        </is>
      </c>
    </row>
    <row r="27">
      <c r="B27" s="17" t="n"/>
      <c r="C27" s="110" t="n"/>
      <c r="D27" s="27" t="inlineStr">
        <is>
          <t>②+1⃣</t>
        </is>
      </c>
      <c r="E27" s="109">
        <f>H20+G23</f>
        <v/>
      </c>
      <c r="G27" s="37">
        <f>C26/E27</f>
        <v/>
      </c>
      <c r="H27" s="36" t="inlineStr">
        <is>
          <t>◎</t>
        </is>
      </c>
    </row>
    <row r="28">
      <c r="B28" s="17" t="n"/>
      <c r="E28" s="27" t="inlineStr">
        <is>
          <t>÷使用量</t>
        </is>
      </c>
      <c r="F28" s="27" t="n"/>
      <c r="G28" s="109">
        <f>C26/C23</f>
        <v/>
      </c>
      <c r="H28" s="29" t="inlineStr">
        <is>
          <t>✕</t>
        </is>
      </c>
    </row>
    <row r="29">
      <c r="D29" s="27" t="inlineStr">
        <is>
          <t>①+2⃣</t>
        </is>
      </c>
      <c r="E29" s="109">
        <f>G20+H23</f>
        <v/>
      </c>
      <c r="G29" s="37">
        <f>C26/E29</f>
        <v/>
      </c>
      <c r="H29" s="29" t="inlineStr">
        <is>
          <t>✕</t>
        </is>
      </c>
    </row>
    <row r="30">
      <c r="D30" s="27" t="inlineStr">
        <is>
          <t>②+2⃣</t>
        </is>
      </c>
      <c r="E30" s="109">
        <f>H20+H23</f>
        <v/>
      </c>
      <c r="G30" s="37">
        <f>C26/E30</f>
        <v/>
      </c>
      <c r="H30" s="29" t="inlineStr">
        <is>
          <t>✕</t>
        </is>
      </c>
    </row>
    <row r="33">
      <c r="B33" s="22" t="n"/>
      <c r="C33" s="14" t="n"/>
      <c r="D33" s="14" t="n"/>
      <c r="E33" s="14" t="n"/>
      <c r="F33" s="14" t="n"/>
      <c r="G33" s="14" t="n"/>
      <c r="H33" s="14" t="n"/>
    </row>
    <row r="34" ht="31.5" customHeight="1" s="85">
      <c r="B34" s="24" t="n"/>
      <c r="C34" s="23" t="inlineStr">
        <is>
          <t>契約電力</t>
        </is>
      </c>
      <c r="D34" s="23" t="n"/>
      <c r="E34" s="23" t="inlineStr">
        <is>
          <t>基本料金単価</t>
        </is>
      </c>
      <c r="F34" s="23" t="n"/>
      <c r="G34" s="25" t="inlineStr">
        <is>
          <t>基本料金①　　　（力率加味せず）</t>
        </is>
      </c>
      <c r="H34" s="25" t="inlineStr">
        <is>
          <t>基本料金②　　　（力率加味）</t>
        </is>
      </c>
    </row>
    <row r="35">
      <c r="B35" s="17" t="n"/>
      <c r="C35" s="33">
        <f>C20</f>
        <v/>
      </c>
      <c r="E35" s="109">
        <f>E20</f>
        <v/>
      </c>
      <c r="G35" s="109">
        <f>C35*E35</f>
        <v/>
      </c>
      <c r="H35" s="109">
        <f>C35*E35*0.85</f>
        <v/>
      </c>
    </row>
    <row r="36">
      <c r="B36" s="17" t="n"/>
    </row>
    <row r="37" ht="31.5" customHeight="1" s="85">
      <c r="B37" s="24" t="n"/>
      <c r="C37" s="23" t="inlineStr">
        <is>
          <t>使用量</t>
        </is>
      </c>
      <c r="D37" s="23" t="n"/>
      <c r="E37" s="23" t="inlineStr">
        <is>
          <t>従量料金単価</t>
        </is>
      </c>
      <c r="F37" s="23" t="n"/>
      <c r="G37" s="25" t="inlineStr">
        <is>
          <t>従量料金1⃣　　　（燃調加味せず）</t>
        </is>
      </c>
      <c r="H37" s="25" t="inlineStr">
        <is>
          <t>従量料金2⃣　　　（燃調加味）</t>
        </is>
      </c>
    </row>
    <row r="38">
      <c r="B38" s="17" t="n"/>
      <c r="C38" s="34" t="n"/>
      <c r="E38" s="109">
        <f>E23</f>
        <v/>
      </c>
      <c r="G38" s="109">
        <f>C38*E38</f>
        <v/>
      </c>
      <c r="H38" s="108" t="n"/>
    </row>
    <row r="39">
      <c r="B39" s="17" t="n"/>
    </row>
    <row r="40">
      <c r="B40" s="24" t="n"/>
      <c r="C40" s="26" t="inlineStr">
        <is>
          <t>割引金額</t>
        </is>
      </c>
      <c r="D40" s="23" t="n"/>
      <c r="E40" s="31" t="inlineStr">
        <is>
          <t>基本料金＋従量料金</t>
        </is>
      </c>
      <c r="F40" s="23" t="n"/>
      <c r="G40" s="23" t="n"/>
      <c r="H40" s="28" t="inlineStr">
        <is>
          <t>結果</t>
        </is>
      </c>
    </row>
    <row r="41">
      <c r="B41" s="17" t="n"/>
      <c r="C41" s="108" t="n"/>
      <c r="D41" s="27" t="inlineStr">
        <is>
          <t>①+1⃣</t>
        </is>
      </c>
      <c r="E41" s="109">
        <f>G35+G38</f>
        <v/>
      </c>
      <c r="G41" s="37">
        <f>C41/E41</f>
        <v/>
      </c>
      <c r="H41" s="29" t="inlineStr">
        <is>
          <t>✕</t>
        </is>
      </c>
    </row>
    <row r="42">
      <c r="B42" s="17" t="n"/>
      <c r="C42" s="110" t="n"/>
      <c r="D42" s="27" t="inlineStr">
        <is>
          <t>②+1⃣</t>
        </is>
      </c>
      <c r="E42" s="109">
        <f>H35+G38</f>
        <v/>
      </c>
      <c r="G42" s="37">
        <f>C41/E42</f>
        <v/>
      </c>
      <c r="H42" s="36" t="inlineStr">
        <is>
          <t>◎</t>
        </is>
      </c>
    </row>
    <row r="43">
      <c r="B43" s="17" t="n"/>
      <c r="E43" s="27" t="inlineStr">
        <is>
          <t>÷使用量</t>
        </is>
      </c>
      <c r="F43" s="27" t="n"/>
      <c r="G43" s="109">
        <f>C41/C38</f>
        <v/>
      </c>
      <c r="H43" s="29" t="inlineStr">
        <is>
          <t>✕</t>
        </is>
      </c>
    </row>
    <row r="44">
      <c r="D44" s="27" t="inlineStr">
        <is>
          <t>①+2⃣</t>
        </is>
      </c>
      <c r="E44" s="109">
        <f>G35+H38</f>
        <v/>
      </c>
      <c r="G44" s="37">
        <f>C41/E44</f>
        <v/>
      </c>
      <c r="H44" s="29" t="inlineStr">
        <is>
          <t>✕</t>
        </is>
      </c>
    </row>
    <row r="45">
      <c r="D45" s="27" t="inlineStr">
        <is>
          <t>②+2⃣</t>
        </is>
      </c>
      <c r="E45" s="109">
        <f>H35+H38</f>
        <v/>
      </c>
      <c r="G45" s="37">
        <f>C41/E45</f>
        <v/>
      </c>
      <c r="H45" s="29" t="inlineStr">
        <is>
          <t>✕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小野永利加</dc:creator>
  <dcterms:created xmlns:dcterms="http://purl.org/dc/terms/" xmlns:xsi="http://www.w3.org/2001/XMLSchema-instance" xsi:type="dcterms:W3CDTF">2020-09-15T06:13:07Z</dcterms:created>
  <dcterms:modified xmlns:dcterms="http://purl.org/dc/terms/" xmlns:xsi="http://www.w3.org/2001/XMLSchema-instance" xsi:type="dcterms:W3CDTF">2025-12-11T06:39:45Z</dcterms:modified>
  <cp:lastModifiedBy>鷹取 煌河</cp:lastModifiedBy>
</cp:coreProperties>
</file>